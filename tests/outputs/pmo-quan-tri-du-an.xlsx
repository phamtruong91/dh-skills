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Risk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9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1" fillId="0" borderId="0" pivotButton="0" quotePrefix="0" xfId="0"/>
    <xf numFmtId="9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1" max="1"/>
    <col width="52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DASHBOARD DỰ ÁN</t>
        </is>
      </c>
    </row>
    <row r="3">
      <c r="A3" s="2" t="inlineStr">
        <is>
          <t>Dự án</t>
        </is>
      </c>
      <c r="B3" t="inlineStr">
        <is>
          <t>DA-MAU-01 – Nền tảng quản lý học liệu số (mẫu)</t>
        </is>
      </c>
    </row>
    <row r="4">
      <c r="A4" s="2" t="inlineStr">
        <is>
          <t>Chủ nhiệm dự án</t>
        </is>
      </c>
      <c r="B4" t="inlineStr">
        <is>
          <t>Phạm Văn Xuân (mẫu)</t>
        </is>
      </c>
    </row>
    <row r="5">
      <c r="A5" s="2" t="inlineStr">
        <is>
          <t>Kỳ báo cáo</t>
        </is>
      </c>
      <c r="B5" t="inlineStr">
        <is>
          <t>Tháng 09/2026</t>
        </is>
      </c>
    </row>
    <row r="7">
      <c r="A7" s="3" t="inlineStr">
        <is>
          <t>1. Tiến độ tổng thể</t>
        </is>
      </c>
    </row>
    <row r="8">
      <c r="A8" t="inlineStr">
        <is>
          <t>% kế hoạch (trung bình các gói việc)</t>
        </is>
      </c>
      <c r="B8" s="4">
        <f>AVERAGE(Tracker!G4:G9)</f>
        <v/>
      </c>
    </row>
    <row r="9">
      <c r="A9" t="inlineStr">
        <is>
          <t>% thực tế (chỉ tính khi mọi gói việc đã có minh chứng)</t>
        </is>
      </c>
      <c r="B9" s="4">
        <f>IF(COUNT(Tracker!H4:H9)=COUNTA(Tracker!A4:A9),AVERAGE(Tracker!H4:H9),"")</f>
        <v/>
      </c>
    </row>
    <row r="10">
      <c r="A10" t="inlineStr">
        <is>
          <t>Số gói việc: Hoàn thành</t>
        </is>
      </c>
      <c r="B10" s="5">
        <f>COUNTIF(Tracker!J4:J9,"Hoàn thành")</f>
        <v/>
      </c>
    </row>
    <row r="11">
      <c r="A11" t="inlineStr">
        <is>
          <t>Số gói việc: Đúng tiến độ</t>
        </is>
      </c>
      <c r="B11" s="5">
        <f>COUNTIF(Tracker!J4:J9,"Đúng tiến độ")</f>
        <v/>
      </c>
    </row>
    <row r="12">
      <c r="A12" t="inlineStr">
        <is>
          <t>Số gói việc: Có nguy cơ chậm</t>
        </is>
      </c>
      <c r="B12" s="5">
        <f>COUNTIF(Tracker!J4:J9,"Có nguy cơ chậm")</f>
        <v/>
      </c>
    </row>
    <row r="13">
      <c r="A13" t="inlineStr">
        <is>
          <t>Số gói việc: Chậm</t>
        </is>
      </c>
      <c r="B13" s="5">
        <f>COUNTIF(Tracker!J4:J9,"Chậm")</f>
        <v/>
      </c>
    </row>
    <row r="14">
      <c r="A14" t="inlineStr">
        <is>
          <t>Ngân sách được duyệt (triệu đồng)</t>
        </is>
      </c>
      <c r="B14" s="5" t="n">
        <v>600</v>
      </c>
    </row>
    <row r="15">
      <c r="A15" t="inlineStr">
        <is>
          <t>Tổng ngân sách phân bổ theo gói việc (triệu đồng)</t>
        </is>
      </c>
      <c r="B15" s="5">
        <f>Tracker!F10</f>
        <v/>
      </c>
    </row>
    <row r="17">
      <c r="A17" s="3" t="inlineStr">
        <is>
          <t>2. Vấn đề nghiêm trọng nhất (theo mức độ)</t>
        </is>
      </c>
    </row>
    <row r="18">
      <c r="A18" s="6" t="inlineStr">
        <is>
          <t>Mã</t>
        </is>
      </c>
      <c r="B18" s="6" t="inlineStr">
        <is>
          <t>Mô tả</t>
        </is>
      </c>
      <c r="C18" s="6" t="inlineStr">
        <is>
          <t>Mức độ</t>
        </is>
      </c>
      <c r="D18" s="6" t="inlineStr">
        <is>
          <t>Người xử lý</t>
        </is>
      </c>
      <c r="E18" s="6" t="inlineStr">
        <is>
          <t>Hạn xử lý</t>
        </is>
      </c>
    </row>
    <row r="19">
      <c r="A19" s="7" t="inlineStr">
        <is>
          <t>IS-01</t>
        </is>
      </c>
      <c r="B19" s="7" t="inlineStr">
        <is>
          <t>Môi trường thử chưa cấp quyền kết nối hệ thống đăng nhập của trường</t>
        </is>
      </c>
      <c r="C19" s="7" t="inlineStr">
        <is>
          <t>nghiêm trọng</t>
        </is>
      </c>
      <c r="D19" s="7" t="inlineStr">
        <is>
          <t>Lê Minh Khôi</t>
        </is>
      </c>
      <c r="E19" s="8" t="n">
        <v>46310</v>
      </c>
    </row>
    <row r="20">
      <c r="A20" s="7" t="inlineStr">
        <is>
          <t>IS-02</t>
        </is>
      </c>
      <c r="B20" s="7" t="inlineStr">
        <is>
          <t>Giao diện tải lên chậm với tệp trên 500 MB</t>
        </is>
      </c>
      <c r="C20" s="7" t="inlineStr">
        <is>
          <t>trung bình</t>
        </is>
      </c>
      <c r="D20" s="7" t="inlineStr">
        <is>
          <t>Trần Văn Hải</t>
        </is>
      </c>
      <c r="E20" s="8" t="n">
        <v>46295</v>
      </c>
    </row>
    <row r="21">
      <c r="A21" s="7" t="inlineStr">
        <is>
          <t>IS-03</t>
        </is>
      </c>
      <c r="B21" s="7" t="inlineStr">
        <is>
          <t>Thiếu người dùng thử tại Khoa B (mẫu)</t>
        </is>
      </c>
      <c r="C21" s="7" t="inlineStr">
        <is>
          <t>nhẹ</t>
        </is>
      </c>
      <c r="D21" s="7" t="n"/>
      <c r="E21" s="8" t="n"/>
    </row>
    <row r="23">
      <c r="A23" s="3" t="inlineStr">
        <is>
          <t>3. Rủi ro hàng đầu</t>
        </is>
      </c>
    </row>
    <row r="24">
      <c r="A24" s="6" t="inlineStr">
        <is>
          <t>Mã</t>
        </is>
      </c>
      <c r="B24" s="6" t="inlineStr">
        <is>
          <t>Rủi ro</t>
        </is>
      </c>
      <c r="C24" s="6" t="inlineStr">
        <is>
          <t>Xác suất</t>
        </is>
      </c>
      <c r="D24" s="6" t="inlineStr">
        <is>
          <t>Mức tác động</t>
        </is>
      </c>
      <c r="E24" s="6" t="inlineStr">
        <is>
          <t>Biện pháp giảm thiểu</t>
        </is>
      </c>
    </row>
    <row r="25">
      <c r="A25" s="7" t="inlineStr">
        <is>
          <t>RK-01</t>
        </is>
      </c>
      <c r="B25" s="7" t="inlineStr">
        <is>
          <t>Chậm cấp quyền kết nối làm trượt mốc WP4 và WP5</t>
        </is>
      </c>
      <c r="C25" s="7" t="inlineStr">
        <is>
          <t>cao</t>
        </is>
      </c>
      <c r="D25" s="7" t="inlineStr">
        <is>
          <t>cao</t>
        </is>
      </c>
      <c r="E25" s="7" t="inlineStr">
        <is>
          <t>Họp với đơn vị quản lý hệ thống đăng nhập để chốt ngày cấp quyền</t>
        </is>
      </c>
    </row>
    <row r="26">
      <c r="A26" s="7" t="inlineStr">
        <is>
          <t>RK-02</t>
        </is>
      </c>
      <c r="B26" s="7" t="inlineStr">
        <is>
          <t>Người dùng thử không đủ để đánh giá</t>
        </is>
      </c>
      <c r="C26" s="7" t="inlineStr">
        <is>
          <t>trung bình</t>
        </is>
      </c>
      <c r="D26" s="7" t="inlineStr">
        <is>
          <t>trung bình</t>
        </is>
      </c>
      <c r="E26" s="7" t="n"/>
    </row>
    <row r="27">
      <c r="A27" s="7" t="n"/>
      <c r="B27" s="7" t="n"/>
      <c r="C27" s="7" t="n"/>
      <c r="D27" s="7" t="n"/>
      <c r="E27" s="7" t="n"/>
    </row>
    <row r="29">
      <c r="A29" s="3" t="inlineStr">
        <is>
          <t>4. Quyết định cần lãnh đạo viện</t>
        </is>
      </c>
    </row>
    <row r="30">
      <c r="A30" s="6" t="inlineStr">
        <is>
          <t>STT</t>
        </is>
      </c>
      <c r="B30" s="6" t="inlineStr">
        <is>
          <t>Nội dung quyết định</t>
        </is>
      </c>
      <c r="C30" s="6" t="inlineStr">
        <is>
          <t>Phương án đề xuất</t>
        </is>
      </c>
      <c r="D30" s="6" t="inlineStr">
        <is>
          <t>Hạn quyết định</t>
        </is>
      </c>
      <c r="E30" s="6" t="inlineStr">
        <is>
          <t>Hậu quả nếu không quyết</t>
        </is>
      </c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3" customWidth="1" min="3" max="3"/>
    <col width="18" customWidth="1" min="4" max="4"/>
    <col width="34" customWidth="1" min="5" max="5"/>
    <col width="15" customWidth="1" min="6" max="6"/>
    <col width="10" customWidth="1" min="7" max="7"/>
    <col width="10" customWidth="1" min="8" max="8"/>
    <col width="12" customWidth="1" min="9" max="9"/>
    <col width="16" customWidth="1" min="10" max="10"/>
    <col width="34" customWidth="1" min="11" max="11"/>
  </cols>
  <sheetData>
    <row r="1">
      <c r="A1" s="9" t="inlineStr">
        <is>
          <t>Tracker tiến độ – DA-MAU-01 – Nền tảng quản lý học liệu số (mẫu) – Kỳ báo cáo Tháng 09/2026</t>
        </is>
      </c>
    </row>
    <row r="3">
      <c r="A3" s="6" t="inlineStr">
        <is>
          <t>Mã</t>
        </is>
      </c>
      <c r="B3" s="6" t="inlineStr">
        <is>
          <t>Gói việc</t>
        </is>
      </c>
      <c r="C3" s="6" t="inlineStr">
        <is>
          <t>Mốc hoàn thành</t>
        </is>
      </c>
      <c r="D3" s="6" t="inlineStr">
        <is>
          <t>Người phụ trách</t>
        </is>
      </c>
      <c r="E3" s="6" t="inlineStr">
        <is>
          <t>Sản phẩm bàn giao</t>
        </is>
      </c>
      <c r="F3" s="6" t="inlineStr">
        <is>
          <t>Ngân sách phân bổ (triệu đồng)</t>
        </is>
      </c>
      <c r="G3" s="6" t="inlineStr">
        <is>
          <t>% kế hoạch</t>
        </is>
      </c>
      <c r="H3" s="6" t="inlineStr">
        <is>
          <t>% thực tế</t>
        </is>
      </c>
      <c r="I3" s="6" t="inlineStr">
        <is>
          <t>Chênh lệch (điểm %)</t>
        </is>
      </c>
      <c r="J3" s="6" t="inlineStr">
        <is>
          <t>Trạng thái</t>
        </is>
      </c>
      <c r="K3" s="6" t="inlineStr">
        <is>
          <t>Minh chứng</t>
        </is>
      </c>
    </row>
    <row r="4">
      <c r="A4" s="7" t="inlineStr">
        <is>
          <t>WP1</t>
        </is>
      </c>
      <c r="B4" s="7" t="inlineStr">
        <is>
          <t>Khảo sát nhu cầu và chốt yêu cầu</t>
        </is>
      </c>
      <c r="C4" s="8" t="n">
        <v>46188</v>
      </c>
      <c r="D4" s="7" t="inlineStr">
        <is>
          <t>Nguyễn Thị Lan</t>
        </is>
      </c>
      <c r="E4" s="7" t="inlineStr">
        <is>
          <t>Tài liệu yêu cầu được 2 khoa ký xác nhận</t>
        </is>
      </c>
      <c r="F4" s="7" t="n">
        <v>60</v>
      </c>
      <c r="G4" s="10" t="n">
        <v>1</v>
      </c>
      <c r="H4" s="10" t="n">
        <v>1</v>
      </c>
      <c r="I4" s="11">
        <f>IF(H4="","",(H4-G4)*100)</f>
        <v/>
      </c>
      <c r="J4" s="7">
        <f>IF(H4="","",IF(H4=1,"Hoàn thành",IF(I4&gt;=-5,"Đúng tiến độ",IF(I4&gt;-10,"Có nguy cơ chậm","Chậm"))))</f>
        <v/>
      </c>
      <c r="K4" s="7" t="inlineStr">
        <is>
          <t>Biên bản nghiệm thu yêu cầu ngày 14/06/2026</t>
        </is>
      </c>
    </row>
    <row r="5">
      <c r="A5" s="7" t="inlineStr">
        <is>
          <t>WP2</t>
        </is>
      </c>
      <c r="B5" s="7" t="inlineStr">
        <is>
          <t>Thiết kế kiến trúc và giao diện</t>
        </is>
      </c>
      <c r="C5" s="8" t="n">
        <v>46234</v>
      </c>
      <c r="D5" s="7" t="inlineStr">
        <is>
          <t>Trần Văn Hải</t>
        </is>
      </c>
      <c r="E5" s="7" t="inlineStr">
        <is>
          <t>Bản thiết kế được duyệt</t>
        </is>
      </c>
      <c r="F5" s="7" t="n">
        <v>120</v>
      </c>
      <c r="G5" s="10" t="n">
        <v>1</v>
      </c>
      <c r="H5" s="10" t="n">
        <v>0.9</v>
      </c>
      <c r="I5" s="11">
        <f>IF(H5="","",(H5-G5)*100)</f>
        <v/>
      </c>
      <c r="J5" s="7">
        <f>IF(H5="","",IF(H5=1,"Hoàn thành",IF(I5&gt;=-5,"Đúng tiến độ",IF(I5&gt;-10,"Có nguy cơ chậm","Chậm"))))</f>
        <v/>
      </c>
      <c r="K5" s="7" t="inlineStr">
        <is>
          <t>Bản thiết kế v0.9 (file)</t>
        </is>
      </c>
    </row>
    <row r="6">
      <c r="A6" s="7" t="inlineStr">
        <is>
          <t>WP3</t>
        </is>
      </c>
      <c r="B6" s="7" t="inlineStr">
        <is>
          <t>Phát triển module tải lên và phân loại học liệu</t>
        </is>
      </c>
      <c r="C6" s="8" t="n">
        <v>46280</v>
      </c>
      <c r="D6" s="7" t="inlineStr">
        <is>
          <t>Trần Văn Hải</t>
        </is>
      </c>
      <c r="E6" s="7" t="inlineStr">
        <is>
          <t>Module chạy được trên môi trường thử</t>
        </is>
      </c>
      <c r="F6" s="7" t="n">
        <v>150</v>
      </c>
      <c r="G6" s="10" t="n">
        <v>1</v>
      </c>
      <c r="H6" s="10" t="n">
        <v>0.7</v>
      </c>
      <c r="I6" s="11">
        <f>IF(H6="","",(H6-G6)*100)</f>
        <v/>
      </c>
      <c r="J6" s="7">
        <f>IF(H6="","",IF(H6=1,"Hoàn thành",IF(I6&gt;=-5,"Đúng tiến độ",IF(I6&gt;-10,"Có nguy cơ chậm","Chậm"))))</f>
        <v/>
      </c>
      <c r="K6" s="7" t="inlineStr">
        <is>
          <t>Báo cáo kiểm thử nội bộ ngày 12/09/2026</t>
        </is>
      </c>
    </row>
    <row r="7">
      <c r="A7" s="7" t="inlineStr">
        <is>
          <t>WP4</t>
        </is>
      </c>
      <c r="B7" s="7" t="inlineStr">
        <is>
          <t>Tích hợp đăng nhập một lần với hệ thống của trường</t>
        </is>
      </c>
      <c r="C7" s="8" t="n">
        <v>46295</v>
      </c>
      <c r="D7" s="7" t="inlineStr">
        <is>
          <t>Lê Minh Khôi</t>
        </is>
      </c>
      <c r="E7" s="7" t="inlineStr">
        <is>
          <t>Đăng nhập thử thành công với 20 tài khoản mẫu</t>
        </is>
      </c>
      <c r="F7" s="7" t="n">
        <v>100</v>
      </c>
      <c r="G7" s="10" t="n">
        <v>0.8</v>
      </c>
      <c r="H7" s="10" t="n"/>
      <c r="I7" s="11">
        <f>IF(H7="","",(H7-G7)*100)</f>
        <v/>
      </c>
      <c r="J7" s="7">
        <f>IF(H7="","",IF(H7=1,"Hoàn thành",IF(I7&gt;=-5,"Đúng tiến độ",IF(I7&gt;-10,"Có nguy cơ chậm","Chậm"))))</f>
        <v/>
      </c>
      <c r="K7" s="7" t="n"/>
    </row>
    <row r="8">
      <c r="A8" s="7" t="inlineStr">
        <is>
          <t>WP5</t>
        </is>
      </c>
      <c r="B8" s="7" t="inlineStr">
        <is>
          <t>Đào tạo người dùng và chạy thử</t>
        </is>
      </c>
      <c r="C8" s="8" t="n">
        <v>46325</v>
      </c>
      <c r="D8" s="7" t="inlineStr">
        <is>
          <t>Nguyễn Thị Lan</t>
        </is>
      </c>
      <c r="E8" s="7" t="inlineStr">
        <is>
          <t>Hoàn thành giai đoạn chạy thử</t>
        </is>
      </c>
      <c r="F8" s="7" t="n">
        <v>110</v>
      </c>
      <c r="G8" s="10" t="n">
        <v>0.2</v>
      </c>
      <c r="H8" s="10" t="n">
        <v>0.2</v>
      </c>
      <c r="I8" s="11">
        <f>IF(H8="","",(H8-G8)*100)</f>
        <v/>
      </c>
      <c r="J8" s="7">
        <f>IF(H8="","",IF(H8=1,"Hoàn thành",IF(I8&gt;=-5,"Đúng tiến độ",IF(I8&gt;-10,"Có nguy cơ chậm","Chậm"))))</f>
        <v/>
      </c>
      <c r="K8" s="7" t="inlineStr">
        <is>
          <t>Kế hoạch đào tạo đã duyệt</t>
        </is>
      </c>
    </row>
    <row r="9">
      <c r="A9" s="7" t="inlineStr">
        <is>
          <t>WP6</t>
        </is>
      </c>
      <c r="B9" s="7" t="inlineStr">
        <is>
          <t>Nghiệm thu và bàn giao</t>
        </is>
      </c>
      <c r="C9" s="8" t="n">
        <v>46356</v>
      </c>
      <c r="D9" s="7" t="inlineStr">
        <is>
          <t>Phạm Văn Xuân (mẫu)</t>
        </is>
      </c>
      <c r="E9" s="7" t="inlineStr">
        <is>
          <t>Biên bản nghiệm thu dự án</t>
        </is>
      </c>
      <c r="F9" s="7" t="n">
        <v>100</v>
      </c>
      <c r="G9" s="10" t="n">
        <v>0</v>
      </c>
      <c r="H9" s="10" t="n">
        <v>0</v>
      </c>
      <c r="I9" s="11">
        <f>IF(H9="","",(H9-G9)*100)</f>
        <v/>
      </c>
      <c r="J9" s="7">
        <f>IF(H9="","",IF(H9=1,"Hoàn thành",IF(I9&gt;=-5,"Đúng tiến độ",IF(I9&gt;-10,"Có nguy cơ chậm","Chậm"))))</f>
        <v/>
      </c>
      <c r="K9" s="7" t="inlineStr">
        <is>
          <t>Chưa đến hạn</t>
        </is>
      </c>
    </row>
    <row r="10">
      <c r="A10" s="7" t="n"/>
      <c r="B10" s="7" t="inlineStr">
        <is>
          <t>Tổng ngân sách phân bổ theo gói việc</t>
        </is>
      </c>
      <c r="C10" s="7" t="n"/>
      <c r="D10" s="7" t="n"/>
      <c r="E10" s="7" t="n"/>
      <c r="F10" s="7">
        <f>SUM(F4:F9)</f>
        <v/>
      </c>
      <c r="G10" s="7" t="n"/>
      <c r="H10" s="7" t="n"/>
      <c r="I10" s="7" t="n"/>
      <c r="J10" s="7" t="n"/>
      <c r="K10" s="7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8" customWidth="1" min="4" max="4"/>
    <col width="13" customWidth="1" min="5" max="5"/>
    <col width="14" customWidth="1" min="6" max="6"/>
    <col width="14" customWidth="1" min="7" max="7"/>
    <col width="16" customWidth="1" min="8" max="8"/>
  </cols>
  <sheetData>
    <row r="1">
      <c r="A1" s="9" t="inlineStr">
        <is>
          <t>Issue log – DA-MAU-01 – Nền tảng quản lý học liệu số (mẫu)</t>
        </is>
      </c>
    </row>
    <row r="2">
      <c r="A2" s="12" t="inlineStr">
        <is>
          <t>Ngày đối chiếu hạn xử lý:</t>
        </is>
      </c>
      <c r="B2" s="13" t="n">
        <v>46305</v>
      </c>
    </row>
    <row r="4">
      <c r="A4" s="6" t="inlineStr">
        <is>
          <t>Mã</t>
        </is>
      </c>
      <c r="B4" s="6" t="inlineStr">
        <is>
          <t>Mô tả vấn đề</t>
        </is>
      </c>
      <c r="C4" s="6" t="inlineStr">
        <is>
          <t>Mức độ</t>
        </is>
      </c>
      <c r="D4" s="6" t="inlineStr">
        <is>
          <t>Người xử lý</t>
        </is>
      </c>
      <c r="E4" s="6" t="inlineStr">
        <is>
          <t>Hạn xử lý</t>
        </is>
      </c>
      <c r="F4" s="6" t="inlineStr">
        <is>
          <t>Trạng thái</t>
        </is>
      </c>
      <c r="G4" s="6" t="inlineStr">
        <is>
          <t>Ngày ghi nhận</t>
        </is>
      </c>
      <c r="H4" s="6" t="inlineStr">
        <is>
          <t>Quá hạn chưa đóng</t>
        </is>
      </c>
    </row>
    <row r="5">
      <c r="A5" s="7" t="inlineStr">
        <is>
          <t>IS-01</t>
        </is>
      </c>
      <c r="B5" s="7" t="inlineStr">
        <is>
          <t>Môi trường thử chưa cấp quyền kết nối hệ thống đăng nhập của trường</t>
        </is>
      </c>
      <c r="C5" s="7" t="inlineStr">
        <is>
          <t>nghiêm trọng</t>
        </is>
      </c>
      <c r="D5" s="7" t="inlineStr">
        <is>
          <t>Lê Minh Khôi</t>
        </is>
      </c>
      <c r="E5" s="8" t="n">
        <v>46310</v>
      </c>
      <c r="F5" s="7" t="inlineStr">
        <is>
          <t>đang xử lý</t>
        </is>
      </c>
      <c r="G5" s="8" t="n">
        <v>46293</v>
      </c>
      <c r="H5" s="7">
        <f>IF(AND(E5&lt;&gt;"",F5&lt;&gt;"đóng",E5&lt;$B$2),"Quá hạn","")</f>
        <v/>
      </c>
    </row>
    <row r="6">
      <c r="A6" s="7" t="inlineStr">
        <is>
          <t>IS-02</t>
        </is>
      </c>
      <c r="B6" s="7" t="inlineStr">
        <is>
          <t>Giao diện tải lên chậm với tệp trên 500 MB</t>
        </is>
      </c>
      <c r="C6" s="7" t="inlineStr">
        <is>
          <t>trung bình</t>
        </is>
      </c>
      <c r="D6" s="7" t="inlineStr">
        <is>
          <t>Trần Văn Hải</t>
        </is>
      </c>
      <c r="E6" s="8" t="n">
        <v>46295</v>
      </c>
      <c r="F6" s="7" t="inlineStr">
        <is>
          <t>mở</t>
        </is>
      </c>
      <c r="G6" s="8" t="n">
        <v>46275</v>
      </c>
      <c r="H6" s="7">
        <f>IF(AND(E6&lt;&gt;"",F6&lt;&gt;"đóng",E6&lt;$B$2),"Quá hạn","")</f>
        <v/>
      </c>
    </row>
    <row r="7">
      <c r="A7" s="7" t="inlineStr">
        <is>
          <t>IS-03</t>
        </is>
      </c>
      <c r="B7" s="7" t="inlineStr">
        <is>
          <t>Thiếu người dùng thử tại Khoa B (mẫu)</t>
        </is>
      </c>
      <c r="C7" s="7" t="inlineStr">
        <is>
          <t>nhẹ</t>
        </is>
      </c>
      <c r="D7" s="7" t="n"/>
      <c r="E7" s="8" t="n"/>
      <c r="F7" s="7" t="inlineStr">
        <is>
          <t>mở</t>
        </is>
      </c>
      <c r="G7" s="8" t="n">
        <v>46270</v>
      </c>
      <c r="H7" s="7">
        <f>IF(AND(E7&lt;&gt;"",F7&lt;&gt;"đóng",E7&lt;$B$2),"Quá hạn","")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4" customWidth="1" min="4" max="4"/>
    <col width="46" customWidth="1" min="5" max="5"/>
    <col width="18" customWidth="1" min="6" max="6"/>
    <col width="14" customWidth="1" min="7" max="7"/>
  </cols>
  <sheetData>
    <row r="1">
      <c r="A1" s="9" t="inlineStr">
        <is>
          <t>Risk log – DA-MAU-01 – Nền tảng quản lý học liệu số (mẫu)</t>
        </is>
      </c>
    </row>
    <row r="3">
      <c r="A3" s="6" t="inlineStr">
        <is>
          <t>Mã</t>
        </is>
      </c>
      <c r="B3" s="6" t="inlineStr">
        <is>
          <t>Rủi ro</t>
        </is>
      </c>
      <c r="C3" s="6" t="inlineStr">
        <is>
          <t>Xác suất</t>
        </is>
      </c>
      <c r="D3" s="6" t="inlineStr">
        <is>
          <t>Mức tác động</t>
        </is>
      </c>
      <c r="E3" s="6" t="inlineStr">
        <is>
          <t>Biện pháp giảm thiểu</t>
        </is>
      </c>
      <c r="F3" s="6" t="inlineStr">
        <is>
          <t>Người theo dõi</t>
        </is>
      </c>
      <c r="G3" s="6" t="inlineStr">
        <is>
          <t>Hạn rà soát lại</t>
        </is>
      </c>
    </row>
    <row r="4">
      <c r="A4" s="7" t="inlineStr">
        <is>
          <t>RK-01</t>
        </is>
      </c>
      <c r="B4" s="7" t="inlineStr">
        <is>
          <t>Chậm cấp quyền kết nối làm trượt mốc WP4 và WP5</t>
        </is>
      </c>
      <c r="C4" s="7" t="inlineStr">
        <is>
          <t>cao</t>
        </is>
      </c>
      <c r="D4" s="7" t="inlineStr">
        <is>
          <t>cao</t>
        </is>
      </c>
      <c r="E4" s="7" t="inlineStr">
        <is>
          <t>Họp với đơn vị quản lý hệ thống đăng nhập để chốt ngày cấp quyền</t>
        </is>
      </c>
      <c r="F4" s="7" t="inlineStr">
        <is>
          <t>Lê Minh Khôi</t>
        </is>
      </c>
      <c r="G4" s="8" t="n">
        <v>46307</v>
      </c>
    </row>
    <row r="5">
      <c r="A5" s="7" t="inlineStr">
        <is>
          <t>RK-02</t>
        </is>
      </c>
      <c r="B5" s="7" t="inlineStr">
        <is>
          <t>Người dùng thử không đủ để đánh giá</t>
        </is>
      </c>
      <c r="C5" s="7" t="inlineStr">
        <is>
          <t>trung bình</t>
        </is>
      </c>
      <c r="D5" s="7" t="inlineStr">
        <is>
          <t>trung bình</t>
        </is>
      </c>
      <c r="E5" s="7" t="n"/>
      <c r="F5" s="7" t="inlineStr">
        <is>
          <t>Nguyễn Thị Lan</t>
        </is>
      </c>
      <c r="G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2026-10-10T08:10:35Z</dcterms:created>
  <dcterms:modified xmlns:dcterms="http://purl.org/dc/terms/" xmlns:xsi="http://www.w3.org/2001/XMLSchema-instance" xsi:type="dcterms:W3CDTF">2026-10-10T08:10:35Z</dcterms:modified>
</cp:coreProperties>
</file>