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" sheetId="1" state="visible" r:id="rId1"/>
  </sheets>
  <definedNames>
    <definedName name="_xlnm.Print_Titles" localSheetId="0">'Du_lieu'!$1:$1</definedName>
    <definedName name="_xlnm.Print_Area" localSheetId="0">'Du_lieu'!$A$1:$W$40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trung bình từng câu hỏi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'Du_lieu'!K1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'Du_lieu'!$A$2:$A$13</f>
            </numRef>
          </cat>
          <val>
            <numRef>
              <f>'Du_lieu'!$K$2:$K$13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Câu hỏi (STT)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trung bình (thang 1–5)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10" customWidth="1" min="11" max="11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Nhóm</t>
        </is>
      </c>
      <c r="D1" s="1" t="inlineStr">
        <is>
          <t>Câu đảo</t>
        </is>
      </c>
      <c r="E1" s="1" t="inlineStr">
        <is>
          <t>Mức 1</t>
        </is>
      </c>
      <c r="F1" s="1" t="inlineStr">
        <is>
          <t>Mức 2</t>
        </is>
      </c>
      <c r="G1" s="1" t="inlineStr">
        <is>
          <t>Mức 3</t>
        </is>
      </c>
      <c r="H1" s="1" t="inlineStr">
        <is>
          <t>Mức 4</t>
        </is>
      </c>
      <c r="I1" s="1" t="inlineStr">
        <is>
          <t>Mức 5</t>
        </is>
      </c>
      <c r="J1" s="1" t="inlineStr">
        <is>
          <t>Số trả lời</t>
        </is>
      </c>
      <c r="K1" s="1" t="inlineStr">
        <is>
          <t>Điểm TB</t>
        </is>
      </c>
    </row>
    <row r="2">
      <c r="A2" t="n">
        <v>1</v>
      </c>
      <c r="B2" t="inlineStr">
        <is>
          <t>Nội dung bài giảng rõ ràng, dễ hiểu</t>
        </is>
      </c>
      <c r="C2" t="inlineStr">
        <is>
          <t>Giảng dạy</t>
        </is>
      </c>
      <c r="D2" t="inlineStr">
        <is>
          <t>Không</t>
        </is>
      </c>
      <c r="E2" t="n">
        <v>10</v>
      </c>
      <c r="F2" t="n">
        <v>28</v>
      </c>
      <c r="G2" t="n">
        <v>110</v>
      </c>
      <c r="H2" t="n">
        <v>360</v>
      </c>
      <c r="I2" t="n">
        <v>334</v>
      </c>
      <c r="J2">
        <f>SUM(E2:I2)</f>
        <v/>
      </c>
      <c r="K2" s="2">
        <f>(1*E2+2*F2+3*G2+4*H2+5*I2)/J2</f>
        <v/>
      </c>
    </row>
    <row r="3">
      <c r="A3" t="n">
        <v>2</v>
      </c>
      <c r="B3" t="inlineStr">
        <is>
          <t>Giảng viên nhiệt tình, tận tâm</t>
        </is>
      </c>
      <c r="C3" t="inlineStr">
        <is>
          <t>Giảng dạy</t>
        </is>
      </c>
      <c r="D3" t="inlineStr">
        <is>
          <t>Không</t>
        </is>
      </c>
      <c r="E3" t="n">
        <v>6</v>
      </c>
      <c r="F3" t="n">
        <v>20</v>
      </c>
      <c r="G3" t="n">
        <v>90</v>
      </c>
      <c r="H3" t="n">
        <v>330</v>
      </c>
      <c r="I3" t="n">
        <v>396</v>
      </c>
      <c r="J3">
        <f>SUM(E3:I3)</f>
        <v/>
      </c>
      <c r="K3" s="2">
        <f>(1*E3+2*F3+3*G3+4*H3+5*I3)/J3</f>
        <v/>
      </c>
    </row>
    <row r="4">
      <c r="A4" t="n">
        <v>3</v>
      </c>
      <c r="B4" t="inlineStr">
        <is>
          <t>Kiểm tra, đánh giá công bằng</t>
        </is>
      </c>
      <c r="C4" t="inlineStr">
        <is>
          <t>Giảng dạy</t>
        </is>
      </c>
      <c r="D4" t="inlineStr">
        <is>
          <t>Không</t>
        </is>
      </c>
      <c r="E4" t="n">
        <v>22</v>
      </c>
      <c r="F4" t="n">
        <v>60</v>
      </c>
      <c r="G4" t="n">
        <v>200</v>
      </c>
      <c r="H4" t="n">
        <v>330</v>
      </c>
      <c r="I4" t="n">
        <v>230</v>
      </c>
      <c r="J4">
        <f>SUM(E4:I4)</f>
        <v/>
      </c>
      <c r="K4" s="2">
        <f>(1*E4+2*F4+3*G4+4*H4+5*I4)/J4</f>
        <v/>
      </c>
    </row>
    <row r="5">
      <c r="A5" t="n">
        <v>4</v>
      </c>
      <c r="B5" t="inlineStr">
        <is>
          <t>Tài liệu học tập đầy đủ</t>
        </is>
      </c>
      <c r="C5" t="inlineStr">
        <is>
          <t>Giảng dạy</t>
        </is>
      </c>
      <c r="D5" t="inlineStr">
        <is>
          <t>Không</t>
        </is>
      </c>
      <c r="E5" t="n">
        <v>18</v>
      </c>
      <c r="F5" t="n">
        <v>70</v>
      </c>
      <c r="G5" t="n">
        <v>230</v>
      </c>
      <c r="H5" t="n">
        <v>310</v>
      </c>
      <c r="I5" t="n">
        <v>214</v>
      </c>
      <c r="J5">
        <f>SUM(E5:I5)</f>
        <v/>
      </c>
      <c r="K5" s="2">
        <f>(1*E5+2*F5+3*G5+4*H5+5*I5)/J5</f>
        <v/>
      </c>
    </row>
    <row r="6">
      <c r="A6" t="n">
        <v>5</v>
      </c>
      <c r="B6" t="inlineStr">
        <is>
          <t>Phòng học đủ tiện nghi</t>
        </is>
      </c>
      <c r="C6" t="inlineStr">
        <is>
          <t>Cơ sở vật chất</t>
        </is>
      </c>
      <c r="D6" t="inlineStr">
        <is>
          <t>Không</t>
        </is>
      </c>
      <c r="E6" t="n">
        <v>60</v>
      </c>
      <c r="F6" t="n">
        <v>140</v>
      </c>
      <c r="G6" t="n">
        <v>260</v>
      </c>
      <c r="H6" t="n">
        <v>250</v>
      </c>
      <c r="I6" t="n">
        <v>132</v>
      </c>
      <c r="J6">
        <f>SUM(E6:I6)</f>
        <v/>
      </c>
      <c r="K6" s="2">
        <f>(1*E6+2*F6+3*G6+4*H6+5*I6)/J6</f>
        <v/>
      </c>
    </row>
    <row r="7">
      <c r="A7" t="n">
        <v>6</v>
      </c>
      <c r="B7" t="inlineStr">
        <is>
          <t>Mạng wifi ổn định</t>
        </is>
      </c>
      <c r="C7" t="inlineStr">
        <is>
          <t>Cơ sở vật chất</t>
        </is>
      </c>
      <c r="D7" t="inlineStr">
        <is>
          <t>Không</t>
        </is>
      </c>
      <c r="E7" t="n">
        <v>150</v>
      </c>
      <c r="F7" t="n">
        <v>210</v>
      </c>
      <c r="G7" t="n">
        <v>240</v>
      </c>
      <c r="H7" t="n">
        <v>170</v>
      </c>
      <c r="I7" t="n">
        <v>72</v>
      </c>
      <c r="J7">
        <f>SUM(E7:I7)</f>
        <v/>
      </c>
      <c r="K7" s="2">
        <f>(1*E7+2*F7+3*G7+4*H7+5*I7)/J7</f>
        <v/>
      </c>
    </row>
    <row r="8">
      <c r="A8" t="n">
        <v>7</v>
      </c>
      <c r="B8" t="inlineStr">
        <is>
          <t>Thư viện đáp ứng nhu cầu</t>
        </is>
      </c>
      <c r="C8" t="inlineStr">
        <is>
          <t>Cơ sở vật chất</t>
        </is>
      </c>
      <c r="D8" t="inlineStr">
        <is>
          <t>Không</t>
        </is>
      </c>
      <c r="E8" t="n">
        <v>40</v>
      </c>
      <c r="F8" t="n">
        <v>90</v>
      </c>
      <c r="G8" t="n">
        <v>260</v>
      </c>
      <c r="H8" t="n">
        <v>280</v>
      </c>
      <c r="I8" t="n">
        <v>160</v>
      </c>
      <c r="J8">
        <f>SUM(E8:I8)</f>
        <v/>
      </c>
      <c r="K8" s="2">
        <f>(1*E8+2*F8+3*G8+4*H8+5*I8)/J8</f>
        <v/>
      </c>
    </row>
    <row r="9">
      <c r="A9" t="n">
        <v>8</v>
      </c>
      <c r="B9" t="inlineStr">
        <is>
          <t>Phòng thực hành đủ thiết bị</t>
        </is>
      </c>
      <c r="C9" t="inlineStr">
        <is>
          <t>Cơ sở vật chất</t>
        </is>
      </c>
      <c r="D9" t="inlineStr">
        <is>
          <t>Không</t>
        </is>
      </c>
      <c r="E9" t="n">
        <v>80</v>
      </c>
      <c r="F9" t="n">
        <v>150</v>
      </c>
      <c r="G9" t="n">
        <v>250</v>
      </c>
      <c r="H9" t="n">
        <v>230</v>
      </c>
      <c r="I9" t="n">
        <v>132</v>
      </c>
      <c r="J9">
        <f>SUM(E9:I9)</f>
        <v/>
      </c>
      <c r="K9" s="2">
        <f>(1*E9+2*F9+3*G9+4*H9+5*I9)/J9</f>
        <v/>
      </c>
    </row>
    <row r="10">
      <c r="A10" t="n">
        <v>9</v>
      </c>
      <c r="B10" t="inlineStr">
        <is>
          <t>Thủ tục hành chính rườm rà (câu đảo)</t>
        </is>
      </c>
      <c r="C10" t="inlineStr">
        <is>
          <t>Hỗ trợ sinh viên</t>
        </is>
      </c>
      <c r="D10" t="inlineStr">
        <is>
          <t>Có</t>
        </is>
      </c>
      <c r="E10" t="n">
        <v>70</v>
      </c>
      <c r="F10" t="n">
        <v>180</v>
      </c>
      <c r="G10" t="n">
        <v>220</v>
      </c>
      <c r="H10" t="n">
        <v>230</v>
      </c>
      <c r="I10" t="n">
        <v>142</v>
      </c>
      <c r="J10">
        <f>SUM(E10:I10)</f>
        <v/>
      </c>
      <c r="K10" s="2">
        <f>(5*E10+4*F10+3*G10+2*H10+1*I10)/J10</f>
        <v/>
      </c>
    </row>
    <row r="11">
      <c r="A11" t="n">
        <v>10</v>
      </c>
      <c r="B11" t="inlineStr">
        <is>
          <t>Tư vấn học tập kịp thời</t>
        </is>
      </c>
      <c r="C11" t="inlineStr">
        <is>
          <t>Hỗ trợ sinh viên</t>
        </is>
      </c>
      <c r="D11" t="inlineStr">
        <is>
          <t>Không</t>
        </is>
      </c>
      <c r="E11" t="n">
        <v>24</v>
      </c>
      <c r="F11" t="n">
        <v>66</v>
      </c>
      <c r="G11" t="n">
        <v>220</v>
      </c>
      <c r="H11" t="n">
        <v>320</v>
      </c>
      <c r="I11" t="n">
        <v>212</v>
      </c>
      <c r="J11">
        <f>SUM(E11:I11)</f>
        <v/>
      </c>
      <c r="K11" s="2">
        <f>(1*E11+2*F11+3*G11+4*H11+5*I11)/J11</f>
        <v/>
      </c>
    </row>
    <row r="12">
      <c r="A12" t="n">
        <v>11</v>
      </c>
      <c r="B12" t="inlineStr">
        <is>
          <t>Hỗ trợ tìm việc làm hiệu quả</t>
        </is>
      </c>
      <c r="C12" t="inlineStr">
        <is>
          <t>Hỗ trợ sinh viên</t>
        </is>
      </c>
      <c r="D12" t="inlineStr">
        <is>
          <t>Không</t>
        </is>
      </c>
      <c r="E12" t="n">
        <v>96</v>
      </c>
      <c r="F12" t="n">
        <v>170</v>
      </c>
      <c r="G12" t="n">
        <v>300</v>
      </c>
      <c r="H12" t="n">
        <v>190</v>
      </c>
      <c r="I12" t="n">
        <v>86</v>
      </c>
      <c r="J12">
        <f>SUM(E12:I12)</f>
        <v/>
      </c>
      <c r="K12" s="2">
        <f>(1*E12+2*F12+3*G12+4*H12+5*I12)/J12</f>
        <v/>
      </c>
    </row>
    <row r="13">
      <c r="A13" t="n">
        <v>12</v>
      </c>
      <c r="B13" t="inlineStr">
        <is>
          <t>Thắc mắc được giải đáp nhanh</t>
        </is>
      </c>
      <c r="C13" t="inlineStr">
        <is>
          <t>Hỗ trợ sinh viên</t>
        </is>
      </c>
      <c r="D13" t="inlineStr">
        <is>
          <t>Không</t>
        </is>
      </c>
      <c r="E13" t="n">
        <v>14</v>
      </c>
      <c r="F13" t="n">
        <v>40</v>
      </c>
      <c r="G13" t="n">
        <v>170</v>
      </c>
      <c r="H13" t="n">
        <v>350</v>
      </c>
      <c r="I13" t="n">
        <v>268</v>
      </c>
      <c r="J13">
        <f>SUM(E13:I13)</f>
        <v/>
      </c>
      <c r="K13" s="2">
        <f>(1*E13+2*F13+3*G13+4*H13+5*I13)/J13</f>
        <v/>
      </c>
    </row>
    <row r="14">
      <c r="A14" t="inlineStr"/>
      <c r="B14" t="inlineStr">
        <is>
          <t>Điểm trung bình chung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s="2">
        <f>AVERAGE(K2:K13)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2026-10-10T10:41:48Z</dcterms:created>
  <dcterms:modified xmlns:dcterms="http://purl.org/dc/terms/" xmlns:xsi="http://www.w3.org/2001/XMLSchema-instance" xsi:type="dcterms:W3CDTF">2026-10-10T10:41:48Z</dcterms:modified>
</cp:coreProperties>
</file>